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VA\Desktop\test\"/>
    </mc:Choice>
  </mc:AlternateContent>
  <xr:revisionPtr revIDLastSave="0" documentId="8_{55ECA342-6590-4041-B3DA-2A4B2FA1AF5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C14" i="1"/>
  <c r="G14" i="1"/>
  <c r="I14" i="1"/>
  <c r="J14" i="1"/>
  <c r="K10" i="1"/>
  <c r="H14" i="1"/>
  <c r="D3" i="1"/>
  <c r="E3" i="1" s="1"/>
  <c r="D4" i="1"/>
  <c r="E4" i="1" s="1"/>
  <c r="D5" i="1"/>
  <c r="E5" i="1" s="1"/>
  <c r="D6" i="1"/>
  <c r="E6" i="1" s="1"/>
  <c r="D7" i="1"/>
  <c r="F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2" i="1"/>
  <c r="E2" i="1" s="1"/>
  <c r="E7" i="1"/>
  <c r="K3" i="1"/>
  <c r="K4" i="1"/>
  <c r="K5" i="1"/>
  <c r="K6" i="1"/>
  <c r="K7" i="1"/>
  <c r="K8" i="1"/>
  <c r="K9" i="1"/>
  <c r="K11" i="1"/>
  <c r="K12" i="1"/>
  <c r="K13" i="1"/>
  <c r="K2" i="1"/>
  <c r="F11" i="1" l="1"/>
  <c r="F4" i="1"/>
  <c r="L4" i="1" s="1"/>
  <c r="F3" i="1"/>
  <c r="L3" i="1" s="1"/>
  <c r="F12" i="1"/>
  <c r="L12" i="1" s="1"/>
  <c r="F13" i="1"/>
  <c r="L13" i="1" s="1"/>
  <c r="F2" i="1"/>
  <c r="L2" i="1" s="1"/>
  <c r="L7" i="1"/>
  <c r="F5" i="1"/>
  <c r="L5" i="1" s="1"/>
  <c r="F6" i="1"/>
  <c r="L6" i="1" s="1"/>
  <c r="F8" i="1"/>
  <c r="L8" i="1" s="1"/>
  <c r="F9" i="1"/>
  <c r="L9" i="1" s="1"/>
  <c r="F10" i="1"/>
  <c r="L10" i="1" s="1"/>
  <c r="L11" i="1"/>
  <c r="E14" i="1"/>
  <c r="D14" i="1"/>
  <c r="K14" i="1"/>
  <c r="F14" i="1" l="1"/>
  <c r="L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Nicolas</author>
  </authors>
  <commentList>
    <comment ref="F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Nicolas:</t>
        </r>
        <r>
          <rPr>
            <sz val="9"/>
            <color indexed="81"/>
            <rFont val="Tahoma"/>
            <charset val="1"/>
          </rPr>
          <t xml:space="preserve">
pour un ticket de 35 € 
5€ Boissson + 6 € charcutterie + 1€ pain </t>
        </r>
      </text>
    </comment>
    <comment ref="G2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Nicolas:</t>
        </r>
        <r>
          <rPr>
            <sz val="9"/>
            <color indexed="81"/>
            <rFont val="Tahoma"/>
            <charset val="1"/>
          </rPr>
          <t xml:space="preserve">
voir salaire bas en basse saison </t>
        </r>
      </text>
    </comment>
    <comment ref="G7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Nicolas:</t>
        </r>
        <r>
          <rPr>
            <sz val="9"/>
            <color indexed="81"/>
            <rFont val="Tahoma"/>
            <charset val="1"/>
          </rPr>
          <t xml:space="preserve">
Prime salaire Haute saison </t>
        </r>
      </text>
    </comment>
    <comment ref="G11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Nicolas:</t>
        </r>
        <r>
          <rPr>
            <sz val="9"/>
            <color indexed="81"/>
            <rFont val="Tahoma"/>
            <charset val="1"/>
          </rPr>
          <t xml:space="preserve">
CONGES </t>
        </r>
      </text>
    </comment>
  </commentList>
</comments>
</file>

<file path=xl/sharedStrings.xml><?xml version="1.0" encoding="utf-8"?>
<sst xmlns="http://schemas.openxmlformats.org/spreadsheetml/2006/main" count="25" uniqueCount="25">
  <si>
    <t>Mois</t>
  </si>
  <si>
    <t>Clients par jour</t>
  </si>
  <si>
    <t>Jours d'ouverture</t>
  </si>
  <si>
    <t>Total clients par mois</t>
  </si>
  <si>
    <t>Revenus (€)</t>
  </si>
  <si>
    <t>Entretien (€)</t>
  </si>
  <si>
    <t>Frais de fonctionnement (€)</t>
  </si>
  <si>
    <t>Coûts mensuels totaux (€)</t>
  </si>
  <si>
    <t>Profit mensuel (€)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</si>
  <si>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</si>
  <si>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</si>
  <si>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</si>
  <si>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</si>
  <si>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</si>
  <si>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</si>
  <si>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</si>
  <si>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</si>
  <si>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</si>
  <si>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</si>
  <si>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</si>
  <si>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</si>
  <si>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Salaires (€) 4pers</t>
  </si>
  <si>
    <t>Amortissement (€)</t>
  </si>
  <si>
    <t>TT</t>
  </si>
  <si>
    <t>Achat Mat 1er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</si>
</sst>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vertical="center"/>
    </xf>
    <xf numFmtId="164" fontId="3" fillId="0" borderId="9" xfId="0" applyNumberFormat="1" applyFont="1" applyBorder="1" applyAlignment="1">
      <alignment vertical="center"/>
    </xf>
    <xf numFmtId="0" fontId="1" fillId="0" borderId="5" xfId="0" applyFont="1" applyBorder="1" applyAlignment="1">
      <alignment horizontal="center"/>
    </xf>
    <xf numFmtId="0" fontId="7" fillId="0" borderId="1" xfId="0" applyFont="1" applyBorder="1"/>
    <xf numFmtId="0" fontId="7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"/>
  <sheetViews>
    <sheetView tabSelected="1" workbookViewId="0">
      <selection activeCell="C3" sqref="C3"/>
    </sheetView>
  </sheetViews>
  <sheetFormatPr baseColWidth="10" defaultColWidth="9.109375" defaultRowHeight="14.4" x14ac:dyDescent="0.3"/>
  <cols>
    <col min="1" max="1" width="11.88671875" customWidth="1"/>
    <col min="2" max="7" width="17.33203125" customWidth="1"/>
    <col min="8" max="8" width="20.88671875" customWidth="1"/>
    <col min="9" max="13" width="17.33203125" customWidth="1"/>
  </cols>
  <sheetData>
    <row r="1" spans="1:12" ht="51.7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24</v>
      </c>
      <c r="G1" s="2" t="s">
        <v>21</v>
      </c>
      <c r="H1" s="3" t="s">
        <v>22</v>
      </c>
      <c r="I1" s="2" t="s">
        <v>5</v>
      </c>
      <c r="J1" s="3" t="s">
        <v>6</v>
      </c>
      <c r="K1" s="3" t="s">
        <v>7</v>
      </c>
      <c r="L1" s="4" t="s">
        <v>8</v>
      </c>
    </row>
    <row r="2" spans="1:12" ht="44.25" customHeight="1" x14ac:dyDescent="0.35">
      <c r="A2" s="8" t="s">
        <v>9</v>
      </c>
      <c r="B2" s="9">
        <v>90</v>
      </c>
      <c r="C2" s="9">
        <v>6</v>
      </c>
      <c r="D2" s="9">
        <f>B2*C2</f>
        <v>540</v>
      </c>
      <c r="E2" s="9">
        <f>D2*35</f>
        <v>18900</v>
      </c>
      <c r="F2" s="9">
        <f>(5+6+1)*D2</f>
        <v>6480</v>
      </c>
      <c r="G2" s="9">
        <v>9000</v>
      </c>
      <c r="H2" s="9">
        <v>4000</v>
      </c>
      <c r="I2" s="9">
        <v>1500</v>
      </c>
      <c r="J2" s="9">
        <v>2300</v>
      </c>
      <c r="K2" s="9">
        <f>J2+I2+H2+G2</f>
        <v>16800</v>
      </c>
      <c r="L2" s="10">
        <f t="shared" ref="L2:L13" si="0">E2-K2-F2</f>
        <v>-4380</v>
      </c>
    </row>
    <row r="3" spans="1:12" ht="44.25" customHeight="1" x14ac:dyDescent="0.35">
      <c r="A3" s="8" t="s">
        <v>10</v>
      </c>
      <c r="B3" s="9">
        <v>20</v>
      </c>
      <c r="C3" s="9">
        <v>6</v>
      </c>
      <c r="D3" s="9">
        <f t="shared" ref="D3:D13" si="1">B3*C3</f>
        <v>120</v>
      </c>
      <c r="E3" s="9">
        <f t="shared" ref="E3:E13" si="2">D3*35</f>
        <v>4200</v>
      </c>
      <c r="F3" s="9">
        <f t="shared" ref="F3:F13" si="3">(5+6+1)*D3</f>
        <v>1440</v>
      </c>
      <c r="G3" s="9">
        <v>9000</v>
      </c>
      <c r="H3" s="9">
        <v>4000</v>
      </c>
      <c r="I3" s="9">
        <v>1500</v>
      </c>
      <c r="J3" s="9">
        <v>2300</v>
      </c>
      <c r="K3" s="9">
        <f t="shared" ref="K3:K13" si="4">J3+I3+H3+G3</f>
        <v>16800</v>
      </c>
      <c r="L3" s="10">
        <f t="shared" si="0"/>
        <v>-14040</v>
      </c>
    </row>
    <row r="4" spans="1:12" ht="44.25" customHeight="1" x14ac:dyDescent="0.35">
      <c r="A4" s="8" t="s">
        <v>11</v>
      </c>
      <c r="B4" s="9">
        <v>20</v>
      </c>
      <c r="C4" s="9">
        <v>6</v>
      </c>
      <c r="D4" s="9">
        <f t="shared" si="1"/>
        <v>120</v>
      </c>
      <c r="E4" s="9">
        <f t="shared" si="2"/>
        <v>4200</v>
      </c>
      <c r="F4" s="9">
        <f t="shared" si="3"/>
        <v>1440</v>
      </c>
      <c r="G4" s="9">
        <v>9000</v>
      </c>
      <c r="H4" s="9">
        <v>4000</v>
      </c>
      <c r="I4" s="9">
        <v>1500</v>
      </c>
      <c r="J4" s="9">
        <v>2300</v>
      </c>
      <c r="K4" s="9">
        <f t="shared" si="4"/>
        <v>16800</v>
      </c>
      <c r="L4" s="10">
        <f t="shared" si="0"/>
        <v>-14040</v>
      </c>
    </row>
    <row r="5" spans="1:12" ht="44.25" customHeight="1" x14ac:dyDescent="0.35">
      <c r="A5" s="8" t="s">
        <v>12</v>
      </c>
      <c r="B5" s="9">
        <v>95</v>
      </c>
      <c r="C5" s="9">
        <v>12</v>
      </c>
      <c r="D5" s="9">
        <f t="shared" si="1"/>
        <v>1140</v>
      </c>
      <c r="E5" s="9">
        <f t="shared" si="2"/>
        <v>39900</v>
      </c>
      <c r="F5" s="9">
        <f t="shared" si="3"/>
        <v>13680</v>
      </c>
      <c r="G5" s="9">
        <v>9000</v>
      </c>
      <c r="H5" s="9">
        <v>4000</v>
      </c>
      <c r="I5" s="9">
        <v>2500</v>
      </c>
      <c r="J5" s="9">
        <v>2300</v>
      </c>
      <c r="K5" s="9">
        <f t="shared" si="4"/>
        <v>17800</v>
      </c>
      <c r="L5" s="10">
        <f t="shared" si="0"/>
        <v>8420</v>
      </c>
    </row>
    <row r="6" spans="1:12" ht="44.25" customHeight="1" x14ac:dyDescent="0.35">
      <c r="A6" s="8" t="s">
        <v>13</v>
      </c>
      <c r="B6" s="9">
        <v>110</v>
      </c>
      <c r="C6" s="9">
        <v>8</v>
      </c>
      <c r="D6" s="9">
        <f t="shared" si="1"/>
        <v>880</v>
      </c>
      <c r="E6" s="9">
        <f t="shared" si="2"/>
        <v>30800</v>
      </c>
      <c r="F6" s="9">
        <f t="shared" si="3"/>
        <v>10560</v>
      </c>
      <c r="G6" s="9">
        <v>9000</v>
      </c>
      <c r="H6" s="9">
        <v>4000</v>
      </c>
      <c r="I6" s="9">
        <v>2500</v>
      </c>
      <c r="J6" s="9">
        <v>2300</v>
      </c>
      <c r="K6" s="9">
        <f t="shared" si="4"/>
        <v>17800</v>
      </c>
      <c r="L6" s="10">
        <f t="shared" si="0"/>
        <v>2440</v>
      </c>
    </row>
    <row r="7" spans="1:12" ht="44.25" customHeight="1" x14ac:dyDescent="0.35">
      <c r="A7" s="8" t="s">
        <v>14</v>
      </c>
      <c r="B7" s="9">
        <v>100</v>
      </c>
      <c r="C7" s="9">
        <v>30</v>
      </c>
      <c r="D7" s="9">
        <f t="shared" si="1"/>
        <v>3000</v>
      </c>
      <c r="E7" s="9">
        <f t="shared" si="2"/>
        <v>105000</v>
      </c>
      <c r="F7" s="9">
        <f t="shared" si="3"/>
        <v>36000</v>
      </c>
      <c r="G7" s="9">
        <v>14000</v>
      </c>
      <c r="H7" s="9">
        <v>4000</v>
      </c>
      <c r="I7" s="9">
        <v>2500</v>
      </c>
      <c r="J7" s="9">
        <v>2300</v>
      </c>
      <c r="K7" s="9">
        <f t="shared" si="4"/>
        <v>22800</v>
      </c>
      <c r="L7" s="10">
        <f t="shared" si="0"/>
        <v>46200</v>
      </c>
    </row>
    <row r="8" spans="1:12" ht="44.25" customHeight="1" x14ac:dyDescent="0.35">
      <c r="A8" s="8" t="s">
        <v>15</v>
      </c>
      <c r="B8" s="9">
        <v>100</v>
      </c>
      <c r="C8" s="9">
        <v>30</v>
      </c>
      <c r="D8" s="9">
        <f t="shared" si="1"/>
        <v>3000</v>
      </c>
      <c r="E8" s="9">
        <f t="shared" si="2"/>
        <v>105000</v>
      </c>
      <c r="F8" s="9">
        <f t="shared" si="3"/>
        <v>36000</v>
      </c>
      <c r="G8" s="9">
        <v>14000</v>
      </c>
      <c r="H8" s="9">
        <v>4000</v>
      </c>
      <c r="I8" s="9">
        <v>2500</v>
      </c>
      <c r="J8" s="9">
        <v>2300</v>
      </c>
      <c r="K8" s="9">
        <f t="shared" si="4"/>
        <v>22800</v>
      </c>
      <c r="L8" s="10">
        <f t="shared" si="0"/>
        <v>46200</v>
      </c>
    </row>
    <row r="9" spans="1:12" ht="44.25" customHeight="1" x14ac:dyDescent="0.35">
      <c r="A9" s="8" t="s">
        <v>16</v>
      </c>
      <c r="B9" s="9">
        <v>100</v>
      </c>
      <c r="C9" s="9">
        <v>30</v>
      </c>
      <c r="D9" s="9">
        <f t="shared" si="1"/>
        <v>3000</v>
      </c>
      <c r="E9" s="9">
        <f t="shared" si="2"/>
        <v>105000</v>
      </c>
      <c r="F9" s="9">
        <f t="shared" si="3"/>
        <v>36000</v>
      </c>
      <c r="G9" s="9">
        <v>14000</v>
      </c>
      <c r="H9" s="9">
        <v>4000</v>
      </c>
      <c r="I9" s="9">
        <v>2500</v>
      </c>
      <c r="J9" s="9">
        <v>2300</v>
      </c>
      <c r="K9" s="9">
        <f t="shared" si="4"/>
        <v>22800</v>
      </c>
      <c r="L9" s="10">
        <f t="shared" si="0"/>
        <v>46200</v>
      </c>
    </row>
    <row r="10" spans="1:12" ht="44.25" customHeight="1" x14ac:dyDescent="0.35">
      <c r="A10" s="8" t="s">
        <v>17</v>
      </c>
      <c r="B10" s="9">
        <v>100</v>
      </c>
      <c r="C10" s="9">
        <v>30</v>
      </c>
      <c r="D10" s="9">
        <f t="shared" si="1"/>
        <v>3000</v>
      </c>
      <c r="E10" s="9">
        <f t="shared" si="2"/>
        <v>105000</v>
      </c>
      <c r="F10" s="9">
        <f t="shared" si="3"/>
        <v>36000</v>
      </c>
      <c r="G10" s="9">
        <v>14000</v>
      </c>
      <c r="H10" s="9">
        <v>4000</v>
      </c>
      <c r="I10" s="9">
        <v>2500</v>
      </c>
      <c r="J10" s="9">
        <v>2300</v>
      </c>
      <c r="K10" s="9">
        <f>J10+I10+H10+G10</f>
        <v>22800</v>
      </c>
      <c r="L10" s="10">
        <f t="shared" si="0"/>
        <v>46200</v>
      </c>
    </row>
    <row r="11" spans="1:12" ht="44.25" customHeight="1" x14ac:dyDescent="0.35">
      <c r="A11" s="8" t="s">
        <v>18</v>
      </c>
      <c r="B11" s="9">
        <v>0</v>
      </c>
      <c r="C11" s="9">
        <v>0</v>
      </c>
      <c r="D11" s="9">
        <f>B11*C11</f>
        <v>0</v>
      </c>
      <c r="E11" s="9">
        <f t="shared" si="2"/>
        <v>0</v>
      </c>
      <c r="F11" s="9">
        <f t="shared" si="3"/>
        <v>0</v>
      </c>
      <c r="G11" s="9">
        <v>800</v>
      </c>
      <c r="H11" s="9">
        <v>4000</v>
      </c>
      <c r="I11" s="9">
        <v>1500</v>
      </c>
      <c r="J11" s="9">
        <v>2300</v>
      </c>
      <c r="K11" s="9">
        <f>J11+I11+H11+G11</f>
        <v>8600</v>
      </c>
      <c r="L11" s="10">
        <f t="shared" si="0"/>
        <v>-8600</v>
      </c>
    </row>
    <row r="12" spans="1:12" ht="44.25" customHeight="1" x14ac:dyDescent="0.35">
      <c r="A12" s="8" t="s">
        <v>19</v>
      </c>
      <c r="B12" s="9">
        <v>60</v>
      </c>
      <c r="C12" s="9">
        <v>8</v>
      </c>
      <c r="D12" s="9">
        <f t="shared" si="1"/>
        <v>480</v>
      </c>
      <c r="E12" s="9">
        <f t="shared" si="2"/>
        <v>16800</v>
      </c>
      <c r="F12" s="9">
        <f t="shared" si="3"/>
        <v>5760</v>
      </c>
      <c r="G12" s="9">
        <v>8000</v>
      </c>
      <c r="H12" s="9">
        <v>4000</v>
      </c>
      <c r="I12" s="9">
        <v>1500</v>
      </c>
      <c r="J12" s="9">
        <v>2300</v>
      </c>
      <c r="K12" s="9">
        <f t="shared" si="4"/>
        <v>15800</v>
      </c>
      <c r="L12" s="10">
        <f t="shared" si="0"/>
        <v>-4760</v>
      </c>
    </row>
    <row r="13" spans="1:12" ht="44.25" customHeight="1" x14ac:dyDescent="0.35">
      <c r="A13" s="8" t="s">
        <v>20</v>
      </c>
      <c r="B13" s="9">
        <v>100</v>
      </c>
      <c r="C13" s="9">
        <v>12</v>
      </c>
      <c r="D13" s="9">
        <f t="shared" si="1"/>
        <v>1200</v>
      </c>
      <c r="E13" s="9">
        <f t="shared" si="2"/>
        <v>42000</v>
      </c>
      <c r="F13" s="9">
        <f t="shared" si="3"/>
        <v>14400</v>
      </c>
      <c r="G13" s="9">
        <v>11000</v>
      </c>
      <c r="H13" s="9">
        <v>4000</v>
      </c>
      <c r="I13" s="9">
        <v>1500</v>
      </c>
      <c r="J13" s="9">
        <v>2300</v>
      </c>
      <c r="K13" s="9">
        <f t="shared" si="4"/>
        <v>18800</v>
      </c>
      <c r="L13" s="10">
        <f t="shared" si="0"/>
        <v>8800</v>
      </c>
    </row>
    <row r="14" spans="1:12" ht="50.25" customHeight="1" thickBot="1" x14ac:dyDescent="0.35">
      <c r="A14" s="5" t="s">
        <v>23</v>
      </c>
      <c r="B14" s="6">
        <f t="shared" ref="B14:G14" si="5">SUM(B2:B13)</f>
        <v>895</v>
      </c>
      <c r="C14" s="6">
        <f t="shared" si="5"/>
        <v>178</v>
      </c>
      <c r="D14" s="6">
        <f t="shared" si="5"/>
        <v>16480</v>
      </c>
      <c r="E14" s="6">
        <f t="shared" si="5"/>
        <v>576800</v>
      </c>
      <c r="F14" s="6">
        <f>SUM(F2:F13)</f>
        <v>197760</v>
      </c>
      <c r="G14" s="6">
        <f t="shared" si="5"/>
        <v>120800</v>
      </c>
      <c r="H14" s="6">
        <f>SUM(H2:H13)</f>
        <v>48000</v>
      </c>
      <c r="I14" s="6">
        <f t="shared" ref="I14:K14" si="6">SUM(I2:I13)</f>
        <v>24000</v>
      </c>
      <c r="J14" s="6">
        <f t="shared" si="6"/>
        <v>27600</v>
      </c>
      <c r="K14" s="6">
        <f t="shared" si="6"/>
        <v>220400</v>
      </c>
      <c r="L14" s="7">
        <f>SUM(L2:L13)</f>
        <v>158640</v>
      </c>
    </row>
  </sheetData>
  <pageMargins left="0.70866141732283472" right="0.70866141732283472" top="0.74803149606299213" bottom="0.74803149606299213" header="0.31496062992125984" footer="0.31496062992125984"/>
  <pageSetup paperSize="9" scale="7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 NAVA</cp:lastModifiedBy>
  <cp:lastPrinted>2024-10-25T15:20:56Z</cp:lastPrinted>
  <dcterms:created xsi:type="dcterms:W3CDTF">2024-10-25T14:33:31Z</dcterms:created>
  <dcterms:modified xsi:type="dcterms:W3CDTF">2026-04-29T14:19:41Z</dcterms:modified>
</cp:coreProperties>
</file>